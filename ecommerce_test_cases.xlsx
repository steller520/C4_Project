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dd62385d097184a9/Desktop/Selenium/"/>
    </mc:Choice>
  </mc:AlternateContent>
  <xr:revisionPtr revIDLastSave="1074" documentId="11_E04A7DD297D9AECF8A160B733B067AA2580653C7" xr6:coauthVersionLast="47" xr6:coauthVersionMax="47" xr10:uidLastSave="{BA7743C7-1548-484B-A091-4261B0F4DBF6}"/>
  <bookViews>
    <workbookView xWindow="28680" yWindow="-120" windowWidth="29040" windowHeight="15720" activeTab="4" xr2:uid="{00000000-000D-0000-FFFF-FFFF00000000}"/>
  </bookViews>
  <sheets>
    <sheet name="Test Plan" sheetId="6" r:id="rId1"/>
    <sheet name="RTM" sheetId="5" r:id="rId2"/>
    <sheet name="TestCases" sheetId="2" r:id="rId3"/>
    <sheet name="Defect_Report" sheetId="3" r:id="rId4"/>
    <sheet name="Test Execution Summary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2" i="4" l="1"/>
  <c r="B17" i="4"/>
  <c r="B16" i="4"/>
  <c r="B15" i="4"/>
  <c r="B14" i="4"/>
  <c r="B13" i="4"/>
  <c r="B19" i="4" l="1"/>
  <c r="B18" i="4"/>
</calcChain>
</file>

<file path=xl/sharedStrings.xml><?xml version="1.0" encoding="utf-8"?>
<sst xmlns="http://schemas.openxmlformats.org/spreadsheetml/2006/main" count="411" uniqueCount="231">
  <si>
    <t>ID</t>
  </si>
  <si>
    <t>Precondition</t>
  </si>
  <si>
    <t>Expected Result</t>
  </si>
  <si>
    <t>Priority</t>
  </si>
  <si>
    <t>User Registration (Positive)</t>
  </si>
  <si>
    <t>High</t>
  </si>
  <si>
    <t>Medium</t>
  </si>
  <si>
    <t>Low</t>
  </si>
  <si>
    <t>StepsExpected</t>
  </si>
  <si>
    <t>Registration with Duplicate Email</t>
  </si>
  <si>
    <t>Registration with Invalid Email</t>
  </si>
  <si>
    <t>Registration with Blank Fields</t>
  </si>
  <si>
    <t>1. Open registration page
2.Enter valid name, existing email, password, confirm password
3.Submit</t>
  </si>
  <si>
    <t>1. Open registration page
2.Enter valid name, invalid email, password, confirm password
3.Submit</t>
  </si>
  <si>
    <t>Error message: "Email already in use"; user remains on registration page</t>
  </si>
  <si>
    <t>Error message(s) for each blank required field</t>
  </si>
  <si>
    <t>Navigated to Sign Up page</t>
  </si>
  <si>
    <t>REG-01</t>
  </si>
  <si>
    <t>Test Scenario</t>
  </si>
  <si>
    <t>Verify Sign up Navigation from Home  Page</t>
  </si>
  <si>
    <t>1.Website is live
2.Signup Link is available</t>
  </si>
  <si>
    <t>REG-02</t>
  </si>
  <si>
    <t>REG-03</t>
  </si>
  <si>
    <t>REG-04</t>
  </si>
  <si>
    <t>REG-05</t>
  </si>
  <si>
    <t>REG-06</t>
  </si>
  <si>
    <t>REG-07</t>
  </si>
  <si>
    <t>REG-08</t>
  </si>
  <si>
    <t>REG-09</t>
  </si>
  <si>
    <t>1.Open the Website  / Home Page         
2.Click SignUp/Login link
3.Verify the navigation to signup/login page</t>
  </si>
  <si>
    <t>Acttual Outcome</t>
  </si>
  <si>
    <t>1.Navigated successfully to Signuo/Login Page</t>
  </si>
  <si>
    <t>Pass</t>
  </si>
  <si>
    <t>REG-10</t>
  </si>
  <si>
    <t>Verify Name,Email field and Signup bitton is displayed</t>
  </si>
  <si>
    <t>1.Sign up Page is available</t>
  </si>
  <si>
    <t>1.Open the Sign up Page.
2.Verify the fields are displayed</t>
  </si>
  <si>
    <t>All fields are displaying</t>
  </si>
  <si>
    <t>1.All fields are displaying correctly.</t>
  </si>
  <si>
    <t>1. Open registration page
2.Enter valid name, unique email
3.Click Signup Button.
4.fill complete form with valid data.
5.Click Create Account</t>
  </si>
  <si>
    <t>Account created; redirected to Home Page</t>
  </si>
  <si>
    <t>Account created and redirected to Home Page</t>
  </si>
  <si>
    <t>User Registration with different data</t>
  </si>
  <si>
    <t>1. Open registration page
2.Enter very long name, unique email
3.Click Signup Button.
4.fill complete form with valid data.
5.Click Create Account</t>
  </si>
  <si>
    <t>Account should no be created and error message is shown</t>
  </si>
  <si>
    <t>Account  created and no error message is shown</t>
  </si>
  <si>
    <t>Fail</t>
  </si>
  <si>
    <t>REG-11</t>
  </si>
  <si>
    <t xml:space="preserve">verify Registration should not ne possible with verify with very long name </t>
  </si>
  <si>
    <t>1. Open registration page
2.Enter name, unique email
3.Click Signup Button.
4.fill complete form with missing data.
5.Click Create Account</t>
  </si>
  <si>
    <t>Verify Unicode Support for the sign up</t>
  </si>
  <si>
    <t>1. Open registration page
2.Filli signup form with Name: Unicode 用户, Email: unicode.user@example.com
3.Submit</t>
  </si>
  <si>
    <t>Verify secure sign up with sql injection protection</t>
  </si>
  <si>
    <t>1. Open registration page
2.Fill signup form with Name: SQLInjection';--, Email: sql.injection@example.com
3.Submit</t>
  </si>
  <si>
    <t>Verify empty name and email field</t>
  </si>
  <si>
    <t xml:space="preserve">1. Open registration page
2.Click the SignUp button without filling </t>
  </si>
  <si>
    <t>Validatioin message: "Fillout this field"</t>
  </si>
  <si>
    <t>Error message: "invalid name"</t>
  </si>
  <si>
    <t>Validatioin message: "Fillout this field" is shown</t>
  </si>
  <si>
    <t>Test Data</t>
  </si>
  <si>
    <t>src/test/resources/testData.xslx</t>
  </si>
  <si>
    <t>LOGIN-01</t>
  </si>
  <si>
    <t>LOGIN-02</t>
  </si>
  <si>
    <t>LOGIN-03</t>
  </si>
  <si>
    <t>LOGIN-04</t>
  </si>
  <si>
    <t>LOGIN-05</t>
  </si>
  <si>
    <t>LOGIN-06</t>
  </si>
  <si>
    <t>LOGIN-07</t>
  </si>
  <si>
    <t>Verify Login  Navigation from Home  Page</t>
  </si>
  <si>
    <t>1.Website is live
2.Login Link is available</t>
  </si>
  <si>
    <t>Status</t>
  </si>
  <si>
    <t>REG-12</t>
  </si>
  <si>
    <t>Verify again login with valid credentials</t>
  </si>
  <si>
    <t>1.Sign up Page is available
2.Email is already registered</t>
  </si>
  <si>
    <t>N/A</t>
  </si>
  <si>
    <t>Navigated to Login page</t>
  </si>
  <si>
    <t>Navigated successfully to Login page</t>
  </si>
  <si>
    <t>Verify all login form elements are displayed and functional</t>
  </si>
  <si>
    <t>1.Website is live
2.Login Page is available</t>
  </si>
  <si>
    <t>Step 1: Open the Login Page
Step 2: Verify Email Input Field
Step 3: Verify Password Input Field
Step 4: Verify Login Button
Step 5: Validating all login element</t>
  </si>
  <si>
    <t>Verify login with valid credentials</t>
  </si>
  <si>
    <t>Step 1: Open the Login Page
Step 2: Enter valid Login Credentials
Step 3: Click login button</t>
  </si>
  <si>
    <t>Login success navigated to Dashboard</t>
  </si>
  <si>
    <t>Verify login with wrong password</t>
  </si>
  <si>
    <t>Step 1: Open the Login Page
Step 2: Enter valid Login Credentials with wrong password
Step 3: Click login button</t>
  </si>
  <si>
    <t>Login Fail with error:"Your email or Password is incorrect"</t>
  </si>
  <si>
    <t>Verify login with wrong email</t>
  </si>
  <si>
    <t>Step 1: Open the Login Page
Step 2: Enter valid Login Credentials with wrong email
Step 3: Click login button</t>
  </si>
  <si>
    <t>Verify login with invalid email format</t>
  </si>
  <si>
    <t>Step 1: Open the Login Page
Step 2: Enter valid Login Credentials with invalid email format
Step 3: Click login button</t>
  </si>
  <si>
    <t>Validation message: "Please include an '@' in the email address. 'invalid-email-format' is missing an '@'"</t>
  </si>
  <si>
    <t>Verify login with subaddressing email format</t>
  </si>
  <si>
    <t>Step 1: Open the Login Page
Step 2: Enter valid Login Credentials with subaddressing email format
Step 3: Click login button</t>
  </si>
  <si>
    <t>CART-01</t>
  </si>
  <si>
    <t>Verify navigation from home page to products page</t>
  </si>
  <si>
    <t>1.Website is live
2.Products page Link is available</t>
  </si>
  <si>
    <t>1.Open the Website  / Home Page         
2.Click Products link
3.Verify the navigation to signup/login page</t>
  </si>
  <si>
    <t>Navigated to Products page</t>
  </si>
  <si>
    <t>Navigated successfully to Products page</t>
  </si>
  <si>
    <t>CART-02</t>
  </si>
  <si>
    <t>CART-03</t>
  </si>
  <si>
    <t>CART-04</t>
  </si>
  <si>
    <t>CART-05</t>
  </si>
  <si>
    <t>CART-06</t>
  </si>
  <si>
    <t>CART-07</t>
  </si>
  <si>
    <t>Verify product can be added to cart successfully</t>
  </si>
  <si>
    <t>1.Website is live
2.Products page  is available</t>
  </si>
  <si>
    <t>Step 1: Open the Products Page
Step 2: Add Product with id:1
Step 3: Click Add to Cart button</t>
  </si>
  <si>
    <t>Cart Modal is shown with message:Your Product has been added to the cart</t>
  </si>
  <si>
    <t>Verify Added product to cart appears in cart page</t>
  </si>
  <si>
    <t>Step 1: Open the Products Page
Step 2: Add Product with id:1
Step 3: Navigate to Cart Page
Step 4:Verify Product Exists in Cart</t>
  </si>
  <si>
    <t>Product ID 1 verification result: Found</t>
  </si>
  <si>
    <t>Verify item can be removed from cart successfully</t>
  </si>
  <si>
    <t>Step 1: Open the Products Page
Step 2: Add Product with id:2
Step 3: Navigate to Cart Page
Step 4:Verify Product Exists in Cart
	Step 5: Removing Product from Cart
Step 6: Verify Product Removed from Cart</t>
  </si>
  <si>
    <t>Item successfully removed from cart</t>
  </si>
  <si>
    <t>Verify product quantity is displayed correctly in car</t>
  </si>
  <si>
    <t xml:space="preserve">Step 1: Open the Products Page
Step 2: Add Product with id:1
Step 3: Navigate to Cart Page
Step 4:Retrieving Product Quantity
	Step 5: Verify Specific Quantity Value
</t>
  </si>
  <si>
    <t>Expected quantity: 1</t>
  </si>
  <si>
    <t>Verify cart displays correct pricing information</t>
  </si>
  <si>
    <t>1.Website is live
2.Products page  is available
3.Cart Page is available</t>
  </si>
  <si>
    <t xml:space="preserve">Step 1: Open the Products Page
Step 2: Add Product with id:1
Step 3: Navigate to Cart Page
Step 4:Retrieving Product Price
	Step 5: Validate price
Step6: Validate Total Calculated
</t>
  </si>
  <si>
    <t>Expected Price and Total Price: 500,500</t>
  </si>
  <si>
    <t>Actual Price and Total Price: 500,500</t>
  </si>
  <si>
    <t>Verify user cannot proceed from cart to checkout page without login</t>
  </si>
  <si>
    <t>Checkout modal displayed for guest user</t>
  </si>
  <si>
    <t>CHECKOUT-01</t>
  </si>
  <si>
    <t>CHECKOUT-02</t>
  </si>
  <si>
    <t>CHECKOUT-03</t>
  </si>
  <si>
    <t>CHECKOUT-04</t>
  </si>
  <si>
    <t>CHECKOUT-05</t>
  </si>
  <si>
    <t>Verify logged-in user can navigate to checkout page</t>
  </si>
  <si>
    <t xml:space="preserve">Step 1: Open the Products Page
Step 2: Add Product with id:1
Step 3: Navigate to Cart Page
Step 4:Verify Product in the cart
	Step 5: Click Proceed to checkout
Step6: Verify Checkout Page
</t>
  </si>
  <si>
    <t xml:space="preserve">Step 1: Open the Products Page
Step 2: Add Product with id:1
Step 3: Navigate to Cart Page
Step 4:Verify Product in the cart
	Step 5: Click Proceed to checkout
Step6: Verify Modal Display
</t>
  </si>
  <si>
    <t>Successfully navigated to checkout page</t>
  </si>
  <si>
    <t>Verify user can add order comment and proceed to payment</t>
  </si>
  <si>
    <t>1.Website is live
2.Products page  is available
3.Cart Page is available
4.Checkout Page is available</t>
  </si>
  <si>
    <t xml:space="preserve">Step 1: Open the Products Page
Step 2: Add Product with id:1
Step 3: Navigate to Cart Page
Step 4:Verify Product in the cart
	Step 5: Click Proceed to checkout
Step6: Add Comment to the order comment:'Please deliver between 9 AM to 5 PM'
Step 7: Click Place Order button
Step 8: Verify Payment from Display
</t>
  </si>
  <si>
    <t xml:space="preserve"> Successfully placed order and navigated to payment</t>
  </si>
  <si>
    <t>Verify user can fill payment details in checkout</t>
  </si>
  <si>
    <t xml:space="preserve">Step 1: Open the Products Page
Step 2: Add Product with id:1
Step 3: Navigate to Cart Page
Step 4:Verify Product in the cart
	Step 5: Click Proceed to checkout
Step6: Add Comment to the order comment:'Please deliver between 9 AM to 5 PM'
Step 7: Click Place Order button
Step 8: Verify Payment from Display
Step9: Enter card details
Step10 : Click the payment button
</t>
  </si>
  <si>
    <t>All payment fields filled successfully</t>
  </si>
  <si>
    <t>Verify  complete end-to-end order placement with payment</t>
  </si>
  <si>
    <t>Order placed successfully</t>
  </si>
  <si>
    <t>Verify  complete end-to-end order placement with tab switching</t>
  </si>
  <si>
    <t xml:space="preserve">Step 1: Perform User Login
Step 2: Navigate to Products Page
Step 3: Open Product in Current Tab
Step 4: View Cart
Step 5: Verify Product in Cart (Tab 1)
Step 6: Open Products Page in New Tab
Step 7: Add Product in New Tab
Step 8: Verify Both Products in Cart (Tab 2)
Step 9: Switch Back to Original Tab
	Step 10: Refresh Cart in Original Tab
Step 11: Proceed to Checkout from Original Tab
Step 12: Verify Checkout Page Display
Step 13: Switch to Second Tab and Closing It
Step 14: Switch Back to Original Tab
</t>
  </si>
  <si>
    <t>Successfully completed tab switching test with checkout</t>
  </si>
  <si>
    <t>BASIC INFORMATION</t>
  </si>
  <si>
    <t>PROJECT NAME</t>
  </si>
  <si>
    <t>MODULE</t>
  </si>
  <si>
    <t>TEST CYCLE</t>
  </si>
  <si>
    <t>PREPARED BY</t>
  </si>
  <si>
    <t>QA Team Lead - Shivam Negi</t>
  </si>
  <si>
    <t>START DATE</t>
  </si>
  <si>
    <t>END DATE</t>
  </si>
  <si>
    <t>TEST CASE EXECUTION SUMMARY</t>
  </si>
  <si>
    <t>TOTAL TC</t>
  </si>
  <si>
    <t>EXECUTED</t>
  </si>
  <si>
    <t>PASSED</t>
  </si>
  <si>
    <t>FAILED</t>
  </si>
  <si>
    <t>BLOCKED</t>
  </si>
  <si>
    <t>TBD</t>
  </si>
  <si>
    <t>PASS PERCENTAGE</t>
  </si>
  <si>
    <t>FAIL PERCENTAGE</t>
  </si>
  <si>
    <t>EXECUTION STATUS BY REQ/SCEN</t>
  </si>
  <si>
    <t>TS DESC</t>
  </si>
  <si>
    <t>TC ID</t>
  </si>
  <si>
    <t>DEFECT SUMMARY</t>
  </si>
  <si>
    <t>TOTAL DEFECTS</t>
  </si>
  <si>
    <t>TOTAL P1</t>
  </si>
  <si>
    <t>TOTAL P2</t>
  </si>
  <si>
    <t>TOTAL P3</t>
  </si>
  <si>
    <t>TOTAL P4</t>
  </si>
  <si>
    <t>TOTAL P5</t>
  </si>
  <si>
    <t>FIXED</t>
  </si>
  <si>
    <t>NOT FIXED</t>
  </si>
  <si>
    <t>OPEN</t>
  </si>
  <si>
    <t>NEW</t>
  </si>
  <si>
    <t>HOLD</t>
  </si>
  <si>
    <t>FIXED PERCENTAGE</t>
  </si>
  <si>
    <t>NOT FIXED PERCENTAGE</t>
  </si>
  <si>
    <t>C4 Project - E-commerce Application</t>
  </si>
  <si>
    <t>Sign up, Login,Cart, Checkout</t>
  </si>
  <si>
    <t>Sprint 1 - Selenium Automation testing</t>
  </si>
  <si>
    <t>22-11-2025</t>
  </si>
  <si>
    <t>TC_ID</t>
  </si>
  <si>
    <t>REG-01-12</t>
  </si>
  <si>
    <t>LOGIN-01-07</t>
  </si>
  <si>
    <t>CART-01-07</t>
  </si>
  <si>
    <t>CHECKOUT-01-05</t>
  </si>
  <si>
    <t>User Registration</t>
  </si>
  <si>
    <t>User Login</t>
  </si>
  <si>
    <t>Cart Functionaloity</t>
  </si>
  <si>
    <t>Checkout Functionality</t>
  </si>
  <si>
    <t>DEFECT_ID</t>
  </si>
  <si>
    <t>DEF_01</t>
  </si>
  <si>
    <t>DEF_02</t>
  </si>
  <si>
    <t>Shivam Negi</t>
  </si>
  <si>
    <t>S.No</t>
  </si>
  <si>
    <t>Resource Name</t>
  </si>
  <si>
    <t>Functional Requirement</t>
  </si>
  <si>
    <t>Test Objective</t>
  </si>
  <si>
    <t>Scope of Testing</t>
  </si>
  <si>
    <t>Test Strategy/Approach</t>
  </si>
  <si>
    <t>Test Environment</t>
  </si>
  <si>
    <t>Test Schedule &amp; Milestones</t>
  </si>
  <si>
    <t>Roles &amp; Responsibilities</t>
  </si>
  <si>
    <t>Entry Criteria</t>
  </si>
  <si>
    <t>Exit Criteria</t>
  </si>
  <si>
    <t>Risks &amp; Mitigation</t>
  </si>
  <si>
    <t>Comlete End to End Automation testing</t>
  </si>
  <si>
    <t>Signup,Login,Cart,Checkout</t>
  </si>
  <si>
    <t>Selenium Automation Testing</t>
  </si>
  <si>
    <t>Chrome v110, Windows 11, testdata.xslx</t>
  </si>
  <si>
    <t>10-11-2025 to 22-11-2025</t>
  </si>
  <si>
    <t>Prepare &amp; execute automaton test cases</t>
  </si>
  <si>
    <t>Automation test cases ready to execute</t>
  </si>
  <si>
    <t>Complete flow end to end tested through automation</t>
  </si>
  <si>
    <t>Automation code may contain bug itself</t>
  </si>
  <si>
    <t>System end to end</t>
  </si>
  <si>
    <t>FR ID</t>
  </si>
  <si>
    <t>FR DESCRIPTION</t>
  </si>
  <si>
    <t>Defect ID</t>
  </si>
  <si>
    <t>SIGNUP_01</t>
  </si>
  <si>
    <t>CRT_03</t>
  </si>
  <si>
    <t>LOG_02</t>
  </si>
  <si>
    <t>CHKT_04</t>
  </si>
  <si>
    <t>Complete testing with automation of signup page</t>
  </si>
  <si>
    <t>Complete testing with automation of login page</t>
  </si>
  <si>
    <t>Complete testing with automation of cart page</t>
  </si>
  <si>
    <t>Complete testing with automation of checlout page</t>
  </si>
  <si>
    <t>REG-07-09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</si>
</sst>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4" fillId="0" borderId="3" applyNumberFormat="0" applyFill="0" applyAlignment="0" applyProtection="0"/>
  </cellStyleXfs>
  <cellXfs count="2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2" fillId="0" borderId="4" xfId="1" applyBorder="1" applyAlignment="1">
      <alignment horizontal="center" vertical="center"/>
    </xf>
    <xf numFmtId="0" fontId="0" fillId="0" borderId="0" xfId="0" applyAlignment="1"/>
    <xf numFmtId="0" fontId="3" fillId="0" borderId="4" xfId="2" applyBorder="1" applyAlignment="1">
      <alignment horizontal="left" vertical="center"/>
    </xf>
    <xf numFmtId="0" fontId="5" fillId="0" borderId="4" xfId="3" applyFont="1" applyBorder="1" applyAlignment="1"/>
    <xf numFmtId="0" fontId="4" fillId="0" borderId="4" xfId="3" applyBorder="1" applyAlignment="1"/>
    <xf numFmtId="0" fontId="0" fillId="0" borderId="4" xfId="0" applyBorder="1" applyAlignment="1"/>
    <xf numFmtId="10" fontId="0" fillId="0" borderId="4" xfId="0" applyNumberFormat="1" applyBorder="1" applyAlignment="1"/>
    <xf numFmtId="0" fontId="2" fillId="0" borderId="0" xfId="1" applyBorder="1" applyAlignment="1">
      <alignment horizontal="center" vertical="center"/>
    </xf>
    <xf numFmtId="0" fontId="0" fillId="2" borderId="4" xfId="0" applyFill="1" applyBorder="1" applyAlignment="1"/>
    <xf numFmtId="0" fontId="2" fillId="0" borderId="4" xfId="1" applyBorder="1" applyAlignment="1">
      <alignment horizontal="center"/>
    </xf>
    <xf numFmtId="14" fontId="5" fillId="0" borderId="4" xfId="3" applyNumberFormat="1" applyFont="1" applyBorder="1" applyAlignment="1"/>
    <xf numFmtId="0" fontId="5" fillId="0" borderId="4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2" borderId="4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</cellXfs>
  <cellStyles count="4">
    <cellStyle name="Heading 1" xfId="1" builtinId="16"/>
    <cellStyle name="Heading 2" xfId="2" builtinId="17"/>
    <cellStyle name="Heading 3" xfId="3" builtinId="18"/>
    <cellStyle name="Normal" xfId="0" builtinId="0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6B7B76-987B-4B87-B734-99B498CBF68C}">
  <dimension ref="A1:L2"/>
  <sheetViews>
    <sheetView workbookViewId="0">
      <selection activeCell="B1" sqref="B1"/>
    </sheetView>
  </sheetViews>
  <sheetFormatPr defaultRowHeight="14.4" x14ac:dyDescent="0.3"/>
  <cols>
    <col min="1" max="1" width="5" style="5" bestFit="1" customWidth="1"/>
    <col min="2" max="2" width="14.5546875" style="5" bestFit="1" customWidth="1"/>
    <col min="3" max="3" width="22.21875" style="5" bestFit="1" customWidth="1"/>
    <col min="4" max="4" width="35.6640625" style="5" bestFit="1" customWidth="1"/>
    <col min="5" max="5" width="25.109375" style="5" bestFit="1" customWidth="1"/>
    <col min="6" max="6" width="27.109375" style="5" bestFit="1" customWidth="1"/>
    <col min="7" max="7" width="36.21875" style="5" bestFit="1" customWidth="1"/>
    <col min="8" max="8" width="25.5546875" style="5" bestFit="1" customWidth="1"/>
    <col min="9" max="9" width="36.33203125" style="5" bestFit="1" customWidth="1"/>
    <col min="10" max="10" width="35.6640625" style="5" bestFit="1" customWidth="1"/>
    <col min="11" max="11" width="48.33203125" style="5" bestFit="1" customWidth="1"/>
    <col min="12" max="12" width="36" style="5" bestFit="1" customWidth="1"/>
    <col min="13" max="16384" width="8.88671875" style="5"/>
  </cols>
  <sheetData>
    <row r="1" spans="1:12" s="18" customFormat="1" x14ac:dyDescent="0.3">
      <c r="A1" s="17" t="s">
        <v>197</v>
      </c>
      <c r="B1" s="17" t="s">
        <v>198</v>
      </c>
      <c r="C1" s="17" t="s">
        <v>199</v>
      </c>
      <c r="D1" s="17" t="s">
        <v>200</v>
      </c>
      <c r="E1" s="17" t="s">
        <v>201</v>
      </c>
      <c r="F1" s="17" t="s">
        <v>202</v>
      </c>
      <c r="G1" s="17" t="s">
        <v>203</v>
      </c>
      <c r="H1" s="17" t="s">
        <v>204</v>
      </c>
      <c r="I1" s="17" t="s">
        <v>205</v>
      </c>
      <c r="J1" s="17" t="s">
        <v>206</v>
      </c>
      <c r="K1" s="17" t="s">
        <v>207</v>
      </c>
      <c r="L1" s="17" t="s">
        <v>208</v>
      </c>
    </row>
    <row r="2" spans="1:12" s="1" customFormat="1" x14ac:dyDescent="0.3">
      <c r="A2" s="19">
        <v>1</v>
      </c>
      <c r="B2" s="19" t="s">
        <v>196</v>
      </c>
      <c r="C2" s="19" t="s">
        <v>218</v>
      </c>
      <c r="D2" s="19" t="s">
        <v>209</v>
      </c>
      <c r="E2" s="19" t="s">
        <v>210</v>
      </c>
      <c r="F2" s="19" t="s">
        <v>211</v>
      </c>
      <c r="G2" s="19" t="s">
        <v>212</v>
      </c>
      <c r="H2" s="19" t="s">
        <v>213</v>
      </c>
      <c r="I2" s="19" t="s">
        <v>214</v>
      </c>
      <c r="J2" s="19" t="s">
        <v>215</v>
      </c>
      <c r="K2" s="19" t="s">
        <v>216</v>
      </c>
      <c r="L2" s="19" t="s">
        <v>217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2AF4B5-61DE-41C1-AEC9-8C11FC5BA401}">
  <dimension ref="A1:D5"/>
  <sheetViews>
    <sheetView workbookViewId="0">
      <selection activeCell="B41" sqref="B41"/>
    </sheetView>
  </sheetViews>
  <sheetFormatPr defaultRowHeight="14.4" x14ac:dyDescent="0.3"/>
  <cols>
    <col min="1" max="1" width="10.44140625" style="1" bestFit="1" customWidth="1"/>
    <col min="2" max="2" width="36.44140625" style="2" customWidth="1"/>
    <col min="3" max="3" width="15.5546875" style="1" bestFit="1" customWidth="1"/>
    <col min="4" max="16384" width="8.88671875" style="1"/>
  </cols>
  <sheetData>
    <row r="1" spans="1:4" x14ac:dyDescent="0.3">
      <c r="A1" s="21" t="s">
        <v>219</v>
      </c>
      <c r="B1" s="20" t="s">
        <v>220</v>
      </c>
      <c r="C1" s="21" t="s">
        <v>165</v>
      </c>
      <c r="D1" s="21" t="s">
        <v>221</v>
      </c>
    </row>
    <row r="2" spans="1:4" ht="28.8" x14ac:dyDescent="0.3">
      <c r="A2" s="1" t="s">
        <v>222</v>
      </c>
      <c r="B2" s="2" t="s">
        <v>226</v>
      </c>
      <c r="C2" s="1" t="s">
        <v>185</v>
      </c>
      <c r="D2" s="1" t="s">
        <v>230</v>
      </c>
    </row>
    <row r="3" spans="1:4" ht="28.8" x14ac:dyDescent="0.3">
      <c r="A3" s="1" t="s">
        <v>224</v>
      </c>
      <c r="B3" s="2" t="s">
        <v>227</v>
      </c>
      <c r="C3" s="1" t="s">
        <v>186</v>
      </c>
      <c r="D3" s="1" t="s">
        <v>74</v>
      </c>
    </row>
    <row r="4" spans="1:4" ht="28.8" x14ac:dyDescent="0.3">
      <c r="A4" s="1" t="s">
        <v>223</v>
      </c>
      <c r="B4" s="2" t="s">
        <v>228</v>
      </c>
      <c r="C4" s="1" t="s">
        <v>187</v>
      </c>
      <c r="D4" s="1" t="s">
        <v>74</v>
      </c>
    </row>
    <row r="5" spans="1:4" ht="28.8" x14ac:dyDescent="0.3">
      <c r="A5" s="1" t="s">
        <v>225</v>
      </c>
      <c r="B5" s="2" t="s">
        <v>229</v>
      </c>
      <c r="C5" s="22" t="s">
        <v>188</v>
      </c>
      <c r="D5" s="1" t="s">
        <v>74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43D447-6031-419C-B9E6-E3EAA23844E4}">
  <dimension ref="A1:J32"/>
  <sheetViews>
    <sheetView topLeftCell="A21" workbookViewId="0">
      <selection activeCell="F32" sqref="F32:G32"/>
    </sheetView>
  </sheetViews>
  <sheetFormatPr defaultRowHeight="14.4" x14ac:dyDescent="0.3"/>
  <cols>
    <col min="1" max="1" width="12.77734375" style="1" bestFit="1" customWidth="1"/>
    <col min="2" max="2" width="59.33203125" style="1" bestFit="1" customWidth="1"/>
    <col min="3" max="3" width="25.44140625" style="1" bestFit="1" customWidth="1"/>
    <col min="4" max="4" width="73.44140625" style="1" customWidth="1"/>
    <col min="5" max="5" width="53.33203125" style="1" customWidth="1"/>
    <col min="6" max="6" width="41.33203125" style="1" bestFit="1" customWidth="1"/>
    <col min="7" max="7" width="41.5546875" style="1" customWidth="1"/>
    <col min="8" max="8" width="8.21875" style="1" bestFit="1" customWidth="1"/>
    <col min="9" max="9" width="11.6640625" style="1" customWidth="1"/>
    <col min="10" max="10" width="36.109375" style="2" bestFit="1" customWidth="1"/>
    <col min="11" max="11" width="8.21875" style="1" bestFit="1" customWidth="1"/>
    <col min="12" max="16384" width="8.88671875" style="1"/>
  </cols>
  <sheetData>
    <row r="1" spans="1:10" x14ac:dyDescent="0.3">
      <c r="A1" s="1" t="s">
        <v>0</v>
      </c>
      <c r="B1" s="1" t="s">
        <v>18</v>
      </c>
      <c r="C1" s="1" t="s">
        <v>1</v>
      </c>
      <c r="D1" s="1" t="s">
        <v>8</v>
      </c>
      <c r="E1" s="1" t="s">
        <v>59</v>
      </c>
      <c r="F1" s="1" t="s">
        <v>2</v>
      </c>
      <c r="G1" s="1" t="s">
        <v>30</v>
      </c>
      <c r="H1" s="1" t="s">
        <v>3</v>
      </c>
      <c r="I1" s="1" t="s">
        <v>70</v>
      </c>
    </row>
    <row r="2" spans="1:10" ht="43.2" x14ac:dyDescent="0.3">
      <c r="A2" s="1" t="s">
        <v>17</v>
      </c>
      <c r="B2" s="1" t="s">
        <v>19</v>
      </c>
      <c r="C2" s="2" t="s">
        <v>20</v>
      </c>
      <c r="D2" s="2" t="s">
        <v>29</v>
      </c>
      <c r="E2" s="2" t="s">
        <v>60</v>
      </c>
      <c r="F2" s="1" t="s">
        <v>16</v>
      </c>
      <c r="G2" s="1" t="s">
        <v>31</v>
      </c>
      <c r="H2" s="1" t="s">
        <v>5</v>
      </c>
      <c r="I2" s="1" t="s">
        <v>32</v>
      </c>
    </row>
    <row r="3" spans="1:10" ht="28.8" x14ac:dyDescent="0.3">
      <c r="A3" s="1" t="s">
        <v>21</v>
      </c>
      <c r="B3" s="1" t="s">
        <v>34</v>
      </c>
      <c r="C3" s="2" t="s">
        <v>35</v>
      </c>
      <c r="D3" s="2" t="s">
        <v>36</v>
      </c>
      <c r="E3" s="2" t="s">
        <v>60</v>
      </c>
      <c r="F3" s="1" t="s">
        <v>37</v>
      </c>
      <c r="G3" s="1" t="s">
        <v>38</v>
      </c>
      <c r="H3" s="1" t="s">
        <v>5</v>
      </c>
      <c r="I3" s="1" t="s">
        <v>32</v>
      </c>
    </row>
    <row r="4" spans="1:10" ht="72" x14ac:dyDescent="0.3">
      <c r="A4" s="1" t="s">
        <v>22</v>
      </c>
      <c r="B4" s="1" t="s">
        <v>4</v>
      </c>
      <c r="C4" s="2" t="s">
        <v>35</v>
      </c>
      <c r="D4" s="2" t="s">
        <v>39</v>
      </c>
      <c r="E4" s="2" t="s">
        <v>60</v>
      </c>
      <c r="F4" s="2" t="s">
        <v>40</v>
      </c>
      <c r="G4" s="2" t="s">
        <v>41</v>
      </c>
      <c r="H4" s="1" t="s">
        <v>5</v>
      </c>
      <c r="I4" s="1" t="s">
        <v>32</v>
      </c>
    </row>
    <row r="5" spans="1:10" ht="72" x14ac:dyDescent="0.3">
      <c r="A5" s="1" t="s">
        <v>23</v>
      </c>
      <c r="B5" s="1" t="s">
        <v>42</v>
      </c>
      <c r="C5" s="2" t="s">
        <v>35</v>
      </c>
      <c r="D5" s="2" t="s">
        <v>39</v>
      </c>
      <c r="E5" s="2" t="s">
        <v>60</v>
      </c>
      <c r="F5" s="2" t="s">
        <v>40</v>
      </c>
      <c r="G5" s="2" t="s">
        <v>41</v>
      </c>
      <c r="H5" s="1" t="s">
        <v>5</v>
      </c>
      <c r="I5" s="1" t="s">
        <v>32</v>
      </c>
    </row>
    <row r="6" spans="1:10" ht="72" x14ac:dyDescent="0.3">
      <c r="A6" s="1" t="s">
        <v>24</v>
      </c>
      <c r="B6" s="2" t="s">
        <v>48</v>
      </c>
      <c r="C6" s="2" t="s">
        <v>35</v>
      </c>
      <c r="D6" s="2" t="s">
        <v>43</v>
      </c>
      <c r="E6" s="2" t="s">
        <v>60</v>
      </c>
      <c r="F6" s="2" t="s">
        <v>44</v>
      </c>
      <c r="G6" s="2" t="s">
        <v>45</v>
      </c>
      <c r="H6" s="1" t="s">
        <v>7</v>
      </c>
      <c r="I6" s="1" t="s">
        <v>46</v>
      </c>
    </row>
    <row r="7" spans="1:10" ht="72" x14ac:dyDescent="0.3">
      <c r="A7" s="1" t="s">
        <v>25</v>
      </c>
      <c r="B7" s="1" t="s">
        <v>11</v>
      </c>
      <c r="C7" s="2" t="s">
        <v>35</v>
      </c>
      <c r="D7" s="2" t="s">
        <v>49</v>
      </c>
      <c r="E7" s="2" t="s">
        <v>60</v>
      </c>
      <c r="F7" s="2" t="s">
        <v>15</v>
      </c>
      <c r="G7" s="2" t="s">
        <v>15</v>
      </c>
      <c r="H7" s="1" t="s">
        <v>5</v>
      </c>
      <c r="I7" s="1" t="s">
        <v>32</v>
      </c>
    </row>
    <row r="8" spans="1:10" ht="43.2" x14ac:dyDescent="0.3">
      <c r="A8" s="1" t="s">
        <v>26</v>
      </c>
      <c r="B8" s="1" t="s">
        <v>10</v>
      </c>
      <c r="C8" s="2" t="s">
        <v>35</v>
      </c>
      <c r="D8" s="2" t="s">
        <v>13</v>
      </c>
      <c r="E8" s="2" t="s">
        <v>60</v>
      </c>
      <c r="F8" s="2" t="s">
        <v>90</v>
      </c>
      <c r="G8" s="2" t="s">
        <v>90</v>
      </c>
      <c r="H8" s="1" t="s">
        <v>6</v>
      </c>
      <c r="I8" s="1" t="s">
        <v>32</v>
      </c>
    </row>
    <row r="9" spans="1:10" ht="43.2" x14ac:dyDescent="0.3">
      <c r="A9" s="1" t="s">
        <v>27</v>
      </c>
      <c r="B9" s="1" t="s">
        <v>50</v>
      </c>
      <c r="C9" s="2" t="s">
        <v>35</v>
      </c>
      <c r="D9" s="2" t="s">
        <v>51</v>
      </c>
      <c r="E9" s="2" t="s">
        <v>60</v>
      </c>
      <c r="F9" s="2" t="s">
        <v>40</v>
      </c>
      <c r="G9" s="2" t="s">
        <v>40</v>
      </c>
      <c r="H9" s="1" t="s">
        <v>6</v>
      </c>
      <c r="I9" s="1" t="s">
        <v>32</v>
      </c>
      <c r="J9" s="1"/>
    </row>
    <row r="10" spans="1:10" ht="43.2" x14ac:dyDescent="0.3">
      <c r="A10" s="1" t="s">
        <v>28</v>
      </c>
      <c r="B10" s="1" t="s">
        <v>52</v>
      </c>
      <c r="C10" s="2" t="s">
        <v>35</v>
      </c>
      <c r="D10" s="2" t="s">
        <v>53</v>
      </c>
      <c r="E10" s="2" t="s">
        <v>60</v>
      </c>
      <c r="F10" s="2" t="s">
        <v>57</v>
      </c>
      <c r="G10" s="2" t="s">
        <v>40</v>
      </c>
      <c r="H10" s="1" t="s">
        <v>6</v>
      </c>
      <c r="I10" s="1" t="s">
        <v>46</v>
      </c>
    </row>
    <row r="11" spans="1:10" s="2" customFormat="1" ht="28.8" x14ac:dyDescent="0.3">
      <c r="A11" s="2" t="s">
        <v>33</v>
      </c>
      <c r="B11" s="2" t="s">
        <v>54</v>
      </c>
      <c r="C11" s="2" t="s">
        <v>35</v>
      </c>
      <c r="D11" s="2" t="s">
        <v>55</v>
      </c>
      <c r="E11" s="2" t="s">
        <v>60</v>
      </c>
      <c r="F11" s="2" t="s">
        <v>56</v>
      </c>
      <c r="G11" s="2" t="s">
        <v>58</v>
      </c>
      <c r="H11" s="2" t="s">
        <v>7</v>
      </c>
      <c r="I11" s="2" t="s">
        <v>32</v>
      </c>
    </row>
    <row r="12" spans="1:10" ht="72" x14ac:dyDescent="0.3">
      <c r="A12" s="2" t="s">
        <v>47</v>
      </c>
      <c r="B12" s="1" t="s">
        <v>72</v>
      </c>
      <c r="C12" s="2" t="s">
        <v>35</v>
      </c>
      <c r="D12" s="3" t="s">
        <v>39</v>
      </c>
      <c r="E12" s="2" t="s">
        <v>60</v>
      </c>
      <c r="F12" s="2" t="s">
        <v>40</v>
      </c>
      <c r="G12" s="2" t="s">
        <v>41</v>
      </c>
      <c r="H12" s="1" t="s">
        <v>7</v>
      </c>
      <c r="I12" s="2" t="s">
        <v>32</v>
      </c>
    </row>
    <row r="13" spans="1:10" ht="43.2" x14ac:dyDescent="0.3">
      <c r="A13" s="2" t="s">
        <v>71</v>
      </c>
      <c r="B13" s="1" t="s">
        <v>9</v>
      </c>
      <c r="C13" s="2" t="s">
        <v>73</v>
      </c>
      <c r="D13" s="2" t="s">
        <v>12</v>
      </c>
      <c r="E13" s="2" t="s">
        <v>60</v>
      </c>
      <c r="F13" s="2" t="s">
        <v>14</v>
      </c>
      <c r="G13" s="2" t="s">
        <v>14</v>
      </c>
      <c r="H13" s="1" t="s">
        <v>5</v>
      </c>
      <c r="I13" s="1" t="s">
        <v>32</v>
      </c>
    </row>
    <row r="14" spans="1:10" ht="43.2" x14ac:dyDescent="0.3">
      <c r="A14" s="1" t="s">
        <v>61</v>
      </c>
      <c r="B14" s="2" t="s">
        <v>68</v>
      </c>
      <c r="C14" s="2" t="s">
        <v>69</v>
      </c>
      <c r="D14" s="2" t="s">
        <v>29</v>
      </c>
      <c r="E14" s="2" t="s">
        <v>74</v>
      </c>
      <c r="F14" s="1" t="s">
        <v>75</v>
      </c>
      <c r="G14" s="1" t="s">
        <v>76</v>
      </c>
      <c r="H14" s="1" t="s">
        <v>5</v>
      </c>
      <c r="I14" s="1" t="s">
        <v>32</v>
      </c>
    </row>
    <row r="15" spans="1:10" ht="72" x14ac:dyDescent="0.3">
      <c r="A15" s="1" t="s">
        <v>62</v>
      </c>
      <c r="B15" s="1" t="s">
        <v>77</v>
      </c>
      <c r="C15" s="2" t="s">
        <v>78</v>
      </c>
      <c r="D15" s="2" t="s">
        <v>79</v>
      </c>
      <c r="E15" s="2" t="s">
        <v>74</v>
      </c>
      <c r="F15" s="1" t="s">
        <v>37</v>
      </c>
      <c r="G15" s="1" t="s">
        <v>37</v>
      </c>
      <c r="H15" s="1" t="s">
        <v>5</v>
      </c>
      <c r="I15" s="1" t="s">
        <v>32</v>
      </c>
    </row>
    <row r="16" spans="1:10" ht="43.2" x14ac:dyDescent="0.3">
      <c r="A16" s="1" t="s">
        <v>63</v>
      </c>
      <c r="B16" s="1" t="s">
        <v>80</v>
      </c>
      <c r="C16" s="2" t="s">
        <v>78</v>
      </c>
      <c r="D16" s="2" t="s">
        <v>81</v>
      </c>
      <c r="E16" s="2" t="s">
        <v>60</v>
      </c>
      <c r="F16" s="1" t="s">
        <v>82</v>
      </c>
      <c r="G16" s="1" t="s">
        <v>82</v>
      </c>
      <c r="H16" s="1" t="s">
        <v>5</v>
      </c>
      <c r="I16" s="1" t="s">
        <v>32</v>
      </c>
    </row>
    <row r="17" spans="1:9" ht="43.2" x14ac:dyDescent="0.3">
      <c r="A17" s="1" t="s">
        <v>64</v>
      </c>
      <c r="B17" s="1" t="s">
        <v>83</v>
      </c>
      <c r="C17" s="2" t="s">
        <v>78</v>
      </c>
      <c r="D17" s="2" t="s">
        <v>84</v>
      </c>
      <c r="E17" s="2" t="s">
        <v>60</v>
      </c>
      <c r="F17" s="1" t="s">
        <v>85</v>
      </c>
      <c r="G17" s="1" t="s">
        <v>85</v>
      </c>
      <c r="H17" s="1" t="s">
        <v>5</v>
      </c>
      <c r="I17" s="1" t="s">
        <v>32</v>
      </c>
    </row>
    <row r="18" spans="1:9" ht="43.2" x14ac:dyDescent="0.3">
      <c r="A18" s="1" t="s">
        <v>65</v>
      </c>
      <c r="B18" s="1" t="s">
        <v>86</v>
      </c>
      <c r="C18" s="2" t="s">
        <v>78</v>
      </c>
      <c r="D18" s="2" t="s">
        <v>87</v>
      </c>
      <c r="E18" s="2" t="s">
        <v>60</v>
      </c>
      <c r="F18" s="1" t="s">
        <v>85</v>
      </c>
      <c r="G18" s="1" t="s">
        <v>85</v>
      </c>
      <c r="H18" s="1" t="s">
        <v>5</v>
      </c>
      <c r="I18" s="1" t="s">
        <v>32</v>
      </c>
    </row>
    <row r="19" spans="1:9" ht="43.2" x14ac:dyDescent="0.3">
      <c r="A19" s="1" t="s">
        <v>66</v>
      </c>
      <c r="B19" s="1" t="s">
        <v>88</v>
      </c>
      <c r="C19" s="2" t="s">
        <v>78</v>
      </c>
      <c r="D19" s="2" t="s">
        <v>89</v>
      </c>
      <c r="E19" s="2" t="s">
        <v>60</v>
      </c>
      <c r="F19" s="2" t="s">
        <v>90</v>
      </c>
      <c r="G19" s="2" t="s">
        <v>90</v>
      </c>
      <c r="H19" s="1" t="s">
        <v>6</v>
      </c>
      <c r="I19" s="1" t="s">
        <v>32</v>
      </c>
    </row>
    <row r="20" spans="1:9" ht="43.2" x14ac:dyDescent="0.3">
      <c r="A20" s="1" t="s">
        <v>67</v>
      </c>
      <c r="B20" s="1" t="s">
        <v>91</v>
      </c>
      <c r="C20" s="2" t="s">
        <v>78</v>
      </c>
      <c r="D20" s="2" t="s">
        <v>92</v>
      </c>
      <c r="E20" s="2" t="s">
        <v>60</v>
      </c>
      <c r="F20" s="1" t="s">
        <v>82</v>
      </c>
      <c r="G20" s="1" t="s">
        <v>82</v>
      </c>
      <c r="H20" s="1" t="s">
        <v>7</v>
      </c>
      <c r="I20" s="1" t="s">
        <v>32</v>
      </c>
    </row>
    <row r="21" spans="1:9" ht="43.2" x14ac:dyDescent="0.3">
      <c r="A21" s="1" t="s">
        <v>93</v>
      </c>
      <c r="B21" s="1" t="s">
        <v>94</v>
      </c>
      <c r="C21" s="2" t="s">
        <v>95</v>
      </c>
      <c r="D21" s="2" t="s">
        <v>96</v>
      </c>
      <c r="E21" s="2" t="s">
        <v>74</v>
      </c>
      <c r="F21" s="1" t="s">
        <v>97</v>
      </c>
      <c r="G21" s="1" t="s">
        <v>98</v>
      </c>
      <c r="H21" s="1" t="s">
        <v>5</v>
      </c>
      <c r="I21" s="1" t="s">
        <v>32</v>
      </c>
    </row>
    <row r="22" spans="1:9" ht="43.2" x14ac:dyDescent="0.3">
      <c r="A22" s="1" t="s">
        <v>99</v>
      </c>
      <c r="B22" s="1" t="s">
        <v>105</v>
      </c>
      <c r="C22" s="2" t="s">
        <v>106</v>
      </c>
      <c r="D22" s="2" t="s">
        <v>107</v>
      </c>
      <c r="E22" s="2" t="s">
        <v>74</v>
      </c>
      <c r="F22" s="2" t="s">
        <v>108</v>
      </c>
      <c r="G22" s="2" t="s">
        <v>108</v>
      </c>
      <c r="H22" s="1" t="s">
        <v>5</v>
      </c>
      <c r="I22" s="1" t="s">
        <v>32</v>
      </c>
    </row>
    <row r="23" spans="1:9" ht="57.6" x14ac:dyDescent="0.3">
      <c r="A23" s="1" t="s">
        <v>100</v>
      </c>
      <c r="B23" s="1" t="s">
        <v>109</v>
      </c>
      <c r="C23" s="2" t="s">
        <v>119</v>
      </c>
      <c r="D23" s="2" t="s">
        <v>110</v>
      </c>
      <c r="E23" s="2" t="s">
        <v>74</v>
      </c>
      <c r="F23" s="1" t="s">
        <v>111</v>
      </c>
      <c r="G23" s="1" t="s">
        <v>111</v>
      </c>
      <c r="H23" s="1" t="s">
        <v>5</v>
      </c>
      <c r="I23" s="1" t="s">
        <v>32</v>
      </c>
    </row>
    <row r="24" spans="1:9" ht="86.4" x14ac:dyDescent="0.3">
      <c r="A24" s="1" t="s">
        <v>101</v>
      </c>
      <c r="B24" s="1" t="s">
        <v>112</v>
      </c>
      <c r="C24" s="2" t="s">
        <v>119</v>
      </c>
      <c r="D24" s="2" t="s">
        <v>113</v>
      </c>
      <c r="E24" s="2" t="s">
        <v>74</v>
      </c>
      <c r="F24" s="1" t="s">
        <v>114</v>
      </c>
      <c r="G24" s="1" t="s">
        <v>114</v>
      </c>
      <c r="H24" s="1" t="s">
        <v>5</v>
      </c>
      <c r="I24" s="1" t="s">
        <v>32</v>
      </c>
    </row>
    <row r="25" spans="1:9" ht="86.4" x14ac:dyDescent="0.3">
      <c r="A25" s="1" t="s">
        <v>102</v>
      </c>
      <c r="B25" s="1" t="s">
        <v>115</v>
      </c>
      <c r="C25" s="2" t="s">
        <v>119</v>
      </c>
      <c r="D25" s="2" t="s">
        <v>116</v>
      </c>
      <c r="E25" s="2" t="s">
        <v>74</v>
      </c>
      <c r="F25" s="1" t="s">
        <v>117</v>
      </c>
      <c r="G25" s="1" t="s">
        <v>117</v>
      </c>
      <c r="H25" s="1" t="s">
        <v>6</v>
      </c>
      <c r="I25" s="1" t="s">
        <v>32</v>
      </c>
    </row>
    <row r="26" spans="1:9" ht="100.8" x14ac:dyDescent="0.3">
      <c r="A26" s="1" t="s">
        <v>103</v>
      </c>
      <c r="B26" s="1" t="s">
        <v>118</v>
      </c>
      <c r="C26" s="2" t="s">
        <v>119</v>
      </c>
      <c r="D26" s="2" t="s">
        <v>120</v>
      </c>
      <c r="E26" s="2" t="s">
        <v>74</v>
      </c>
      <c r="F26" s="1" t="s">
        <v>121</v>
      </c>
      <c r="G26" s="1" t="s">
        <v>122</v>
      </c>
      <c r="H26" s="1" t="s">
        <v>6</v>
      </c>
      <c r="I26" s="1" t="s">
        <v>32</v>
      </c>
    </row>
    <row r="27" spans="1:9" ht="100.8" x14ac:dyDescent="0.3">
      <c r="A27" s="1" t="s">
        <v>104</v>
      </c>
      <c r="B27" s="1" t="s">
        <v>123</v>
      </c>
      <c r="C27" s="2" t="s">
        <v>119</v>
      </c>
      <c r="D27" s="2" t="s">
        <v>132</v>
      </c>
      <c r="E27" s="2" t="s">
        <v>74</v>
      </c>
      <c r="F27" s="1" t="s">
        <v>124</v>
      </c>
      <c r="G27" s="1" t="s">
        <v>124</v>
      </c>
      <c r="H27" s="1" t="s">
        <v>6</v>
      </c>
      <c r="I27" s="1" t="s">
        <v>32</v>
      </c>
    </row>
    <row r="28" spans="1:9" ht="100.8" x14ac:dyDescent="0.3">
      <c r="A28" s="1" t="s">
        <v>125</v>
      </c>
      <c r="B28" s="1" t="s">
        <v>130</v>
      </c>
      <c r="C28" s="2" t="s">
        <v>119</v>
      </c>
      <c r="D28" s="2" t="s">
        <v>131</v>
      </c>
      <c r="E28" s="2" t="s">
        <v>74</v>
      </c>
      <c r="F28" s="1" t="s">
        <v>133</v>
      </c>
      <c r="G28" s="1" t="s">
        <v>133</v>
      </c>
      <c r="H28" s="1" t="s">
        <v>5</v>
      </c>
      <c r="I28" s="1" t="s">
        <v>32</v>
      </c>
    </row>
    <row r="29" spans="1:9" ht="129.6" x14ac:dyDescent="0.3">
      <c r="A29" s="1" t="s">
        <v>126</v>
      </c>
      <c r="B29" s="1" t="s">
        <v>134</v>
      </c>
      <c r="C29" s="2" t="s">
        <v>135</v>
      </c>
      <c r="D29" s="2" t="s">
        <v>136</v>
      </c>
      <c r="E29" s="2" t="s">
        <v>74</v>
      </c>
      <c r="F29" s="2" t="s">
        <v>137</v>
      </c>
      <c r="G29" s="2" t="s">
        <v>137</v>
      </c>
      <c r="H29" s="1" t="s">
        <v>7</v>
      </c>
      <c r="I29" s="1" t="s">
        <v>32</v>
      </c>
    </row>
    <row r="30" spans="1:9" ht="158.4" x14ac:dyDescent="0.3">
      <c r="A30" s="1" t="s">
        <v>127</v>
      </c>
      <c r="B30" s="1" t="s">
        <v>138</v>
      </c>
      <c r="C30" s="2" t="s">
        <v>135</v>
      </c>
      <c r="D30" s="2" t="s">
        <v>139</v>
      </c>
      <c r="E30" s="2" t="s">
        <v>74</v>
      </c>
      <c r="F30" s="1" t="s">
        <v>140</v>
      </c>
      <c r="G30" s="1" t="s">
        <v>140</v>
      </c>
      <c r="H30" s="1" t="s">
        <v>5</v>
      </c>
      <c r="I30" s="1" t="s">
        <v>32</v>
      </c>
    </row>
    <row r="31" spans="1:9" ht="158.4" x14ac:dyDescent="0.3">
      <c r="A31" s="1" t="s">
        <v>128</v>
      </c>
      <c r="B31" s="1" t="s">
        <v>141</v>
      </c>
      <c r="C31" s="2" t="s">
        <v>135</v>
      </c>
      <c r="D31" s="2" t="s">
        <v>139</v>
      </c>
      <c r="E31" s="2" t="s">
        <v>74</v>
      </c>
      <c r="F31" s="1" t="s">
        <v>142</v>
      </c>
      <c r="G31" s="1" t="s">
        <v>142</v>
      </c>
      <c r="H31" s="1" t="s">
        <v>5</v>
      </c>
      <c r="I31" s="1" t="s">
        <v>32</v>
      </c>
    </row>
    <row r="32" spans="1:9" ht="230.4" x14ac:dyDescent="0.3">
      <c r="A32" s="1" t="s">
        <v>129</v>
      </c>
      <c r="B32" s="1" t="s">
        <v>143</v>
      </c>
      <c r="C32" s="2" t="s">
        <v>135</v>
      </c>
      <c r="D32" s="2" t="s">
        <v>144</v>
      </c>
      <c r="E32" s="2" t="s">
        <v>74</v>
      </c>
      <c r="F32" s="2" t="s">
        <v>145</v>
      </c>
      <c r="G32" s="2" t="s">
        <v>145</v>
      </c>
      <c r="H32" s="1" t="s">
        <v>6</v>
      </c>
      <c r="I32" s="1" t="s">
        <v>32</v>
      </c>
    </row>
  </sheetData>
  <phoneticPr fontId="1" type="noConversion"/>
  <conditionalFormatting sqref="I1:I1048576">
    <cfRule type="containsText" dxfId="1" priority="1" operator="containsText" text="Fail">
      <formula>NOT(ISERROR(SEARCH("Fail",I1)))</formula>
    </cfRule>
    <cfRule type="containsText" dxfId="0" priority="2" operator="containsText" text="Pass">
      <formula>NOT(ISERROR(SEARCH("Pass",I1)))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1354AB-C813-4C7B-9C67-1EB72DAA7502}">
  <dimension ref="A1:J3"/>
  <sheetViews>
    <sheetView workbookViewId="0">
      <selection activeCell="C3" sqref="C3"/>
    </sheetView>
  </sheetViews>
  <sheetFormatPr defaultRowHeight="14.4" x14ac:dyDescent="0.3"/>
  <cols>
    <col min="1" max="1" width="10" style="1" bestFit="1" customWidth="1"/>
    <col min="2" max="2" width="66.6640625" style="1" bestFit="1" customWidth="1"/>
    <col min="3" max="3" width="66.6640625" style="1" customWidth="1"/>
    <col min="4" max="4" width="23.77734375" style="1" bestFit="1" customWidth="1"/>
    <col min="5" max="5" width="72.77734375" style="1" bestFit="1" customWidth="1"/>
    <col min="6" max="6" width="29.33203125" style="1" bestFit="1" customWidth="1"/>
    <col min="7" max="7" width="51.88671875" style="1" bestFit="1" customWidth="1"/>
    <col min="8" max="8" width="43.21875" style="1" bestFit="1" customWidth="1"/>
    <col min="9" max="9" width="8.21875" style="1" bestFit="1" customWidth="1"/>
    <col min="10" max="10" width="6.21875" style="1" bestFit="1" customWidth="1"/>
    <col min="11" max="16384" width="8.88671875" style="1"/>
  </cols>
  <sheetData>
    <row r="1" spans="1:10" x14ac:dyDescent="0.3">
      <c r="A1" s="15" t="s">
        <v>193</v>
      </c>
      <c r="B1" s="15" t="s">
        <v>18</v>
      </c>
      <c r="C1" s="15"/>
      <c r="D1" s="15" t="s">
        <v>1</v>
      </c>
      <c r="E1" s="16" t="s">
        <v>8</v>
      </c>
      <c r="F1" s="15" t="s">
        <v>59</v>
      </c>
      <c r="G1" s="15" t="s">
        <v>2</v>
      </c>
      <c r="H1" s="15" t="s">
        <v>30</v>
      </c>
      <c r="I1" s="15" t="s">
        <v>3</v>
      </c>
      <c r="J1" s="15" t="s">
        <v>70</v>
      </c>
    </row>
    <row r="2" spans="1:10" ht="72" x14ac:dyDescent="0.3">
      <c r="A2" s="1" t="s">
        <v>194</v>
      </c>
      <c r="B2" s="1" t="s">
        <v>48</v>
      </c>
      <c r="C2" s="1" t="s">
        <v>26</v>
      </c>
      <c r="D2" s="1" t="s">
        <v>35</v>
      </c>
      <c r="E2" s="2" t="s">
        <v>43</v>
      </c>
      <c r="F2" s="1" t="s">
        <v>60</v>
      </c>
      <c r="G2" s="1" t="s">
        <v>44</v>
      </c>
      <c r="H2" s="1" t="s">
        <v>45</v>
      </c>
      <c r="I2" s="1" t="s">
        <v>7</v>
      </c>
      <c r="J2" s="1" t="s">
        <v>46</v>
      </c>
    </row>
    <row r="3" spans="1:10" ht="43.2" x14ac:dyDescent="0.3">
      <c r="A3" s="1" t="s">
        <v>195</v>
      </c>
      <c r="B3" s="1" t="s">
        <v>52</v>
      </c>
      <c r="C3" s="1" t="s">
        <v>28</v>
      </c>
      <c r="D3" s="1" t="s">
        <v>35</v>
      </c>
      <c r="E3" s="2" t="s">
        <v>53</v>
      </c>
      <c r="F3" s="1" t="s">
        <v>60</v>
      </c>
      <c r="G3" s="1" t="s">
        <v>57</v>
      </c>
      <c r="H3" s="1" t="s">
        <v>40</v>
      </c>
      <c r="I3" s="1" t="s">
        <v>6</v>
      </c>
      <c r="J3" s="1" t="s">
        <v>46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A07F37-05FD-4436-AB67-84FC3D3243A8}">
  <dimension ref="A1:G43"/>
  <sheetViews>
    <sheetView tabSelected="1" topLeftCell="A6" workbookViewId="0">
      <selection activeCell="D34" sqref="D34"/>
    </sheetView>
  </sheetViews>
  <sheetFormatPr defaultRowHeight="14.4" x14ac:dyDescent="0.3"/>
  <cols>
    <col min="1" max="1" width="22.109375" style="5" bestFit="1" customWidth="1"/>
    <col min="2" max="2" width="109.6640625" style="5" bestFit="1" customWidth="1"/>
    <col min="3" max="3" width="9.6640625" style="5" bestFit="1" customWidth="1"/>
    <col min="4" max="4" width="7.44140625" style="5" bestFit="1" customWidth="1"/>
    <col min="5" max="5" width="6.77734375" style="5" bestFit="1" customWidth="1"/>
    <col min="6" max="6" width="8.77734375" style="5" bestFit="1" customWidth="1"/>
    <col min="7" max="7" width="4.33203125" style="5" bestFit="1" customWidth="1"/>
    <col min="8" max="16384" width="8.88671875" style="5"/>
  </cols>
  <sheetData>
    <row r="1" spans="1:2" ht="19.8" x14ac:dyDescent="0.3">
      <c r="A1" s="4" t="s">
        <v>146</v>
      </c>
      <c r="B1" s="4"/>
    </row>
    <row r="3" spans="1:2" ht="17.399999999999999" x14ac:dyDescent="0.3">
      <c r="A3" s="6" t="s">
        <v>147</v>
      </c>
      <c r="B3" s="7" t="s">
        <v>180</v>
      </c>
    </row>
    <row r="4" spans="1:2" ht="17.399999999999999" x14ac:dyDescent="0.3">
      <c r="A4" s="6" t="s">
        <v>148</v>
      </c>
      <c r="B4" s="7" t="s">
        <v>181</v>
      </c>
    </row>
    <row r="5" spans="1:2" ht="17.399999999999999" x14ac:dyDescent="0.3">
      <c r="A5" s="6" t="s">
        <v>149</v>
      </c>
      <c r="B5" s="7" t="s">
        <v>182</v>
      </c>
    </row>
    <row r="6" spans="1:2" ht="17.399999999999999" x14ac:dyDescent="0.3">
      <c r="A6" s="6" t="s">
        <v>150</v>
      </c>
      <c r="B6" s="7" t="s">
        <v>151</v>
      </c>
    </row>
    <row r="7" spans="1:2" ht="17.399999999999999" x14ac:dyDescent="0.3">
      <c r="A7" s="6" t="s">
        <v>152</v>
      </c>
      <c r="B7" s="14">
        <v>45941</v>
      </c>
    </row>
    <row r="8" spans="1:2" ht="17.399999999999999" x14ac:dyDescent="0.3">
      <c r="A8" s="6" t="s">
        <v>153</v>
      </c>
      <c r="B8" s="7" t="s">
        <v>183</v>
      </c>
    </row>
    <row r="10" spans="1:2" ht="19.8" x14ac:dyDescent="0.3">
      <c r="A10" s="4" t="s">
        <v>154</v>
      </c>
      <c r="B10" s="4"/>
    </row>
    <row r="12" spans="1:2" x14ac:dyDescent="0.3">
      <c r="A12" s="8" t="s">
        <v>155</v>
      </c>
      <c r="B12" s="9">
        <f>SUM(C24:C27)</f>
        <v>31</v>
      </c>
    </row>
    <row r="13" spans="1:2" x14ac:dyDescent="0.3">
      <c r="A13" s="8" t="s">
        <v>156</v>
      </c>
      <c r="B13" s="9">
        <f>SUM(C24:C27)</f>
        <v>31</v>
      </c>
    </row>
    <row r="14" spans="1:2" x14ac:dyDescent="0.3">
      <c r="A14" s="8" t="s">
        <v>157</v>
      </c>
      <c r="B14" s="9">
        <f>SUM(D24:D27)</f>
        <v>29</v>
      </c>
    </row>
    <row r="15" spans="1:2" x14ac:dyDescent="0.3">
      <c r="A15" s="8" t="s">
        <v>158</v>
      </c>
      <c r="B15" s="9">
        <f>SUM(E24:E27)</f>
        <v>2</v>
      </c>
    </row>
    <row r="16" spans="1:2" x14ac:dyDescent="0.3">
      <c r="A16" s="8" t="s">
        <v>159</v>
      </c>
      <c r="B16" s="9">
        <f>SUM(F24:F27)</f>
        <v>0</v>
      </c>
    </row>
    <row r="17" spans="1:7" x14ac:dyDescent="0.3">
      <c r="A17" s="8" t="s">
        <v>160</v>
      </c>
      <c r="B17" s="9">
        <f>SUM(G24:G27)</f>
        <v>0</v>
      </c>
    </row>
    <row r="18" spans="1:7" x14ac:dyDescent="0.3">
      <c r="A18" s="8" t="s">
        <v>161</v>
      </c>
      <c r="B18" s="10">
        <f>B14/B12</f>
        <v>0.93548387096774188</v>
      </c>
    </row>
    <row r="19" spans="1:7" x14ac:dyDescent="0.3">
      <c r="A19" s="8" t="s">
        <v>162</v>
      </c>
      <c r="B19" s="10">
        <f>B15/B13</f>
        <v>6.4516129032258063E-2</v>
      </c>
    </row>
    <row r="21" spans="1:7" ht="19.8" x14ac:dyDescent="0.3">
      <c r="A21" s="11" t="s">
        <v>163</v>
      </c>
      <c r="B21" s="11"/>
    </row>
    <row r="23" spans="1:7" x14ac:dyDescent="0.3">
      <c r="A23" s="12" t="s">
        <v>184</v>
      </c>
      <c r="B23" s="12" t="s">
        <v>164</v>
      </c>
      <c r="C23" s="12" t="s">
        <v>156</v>
      </c>
      <c r="D23" s="12" t="s">
        <v>157</v>
      </c>
      <c r="E23" s="12" t="s">
        <v>158</v>
      </c>
      <c r="F23" s="12" t="s">
        <v>159</v>
      </c>
      <c r="G23" s="12" t="s">
        <v>160</v>
      </c>
    </row>
    <row r="24" spans="1:7" x14ac:dyDescent="0.3">
      <c r="A24" s="9" t="s">
        <v>185</v>
      </c>
      <c r="B24" s="9" t="s">
        <v>189</v>
      </c>
      <c r="C24" s="9">
        <v>12</v>
      </c>
      <c r="D24" s="9">
        <v>10</v>
      </c>
      <c r="E24" s="9">
        <v>2</v>
      </c>
      <c r="F24" s="9">
        <v>0</v>
      </c>
      <c r="G24" s="9">
        <v>0</v>
      </c>
    </row>
    <row r="25" spans="1:7" x14ac:dyDescent="0.3">
      <c r="A25" s="9" t="s">
        <v>186</v>
      </c>
      <c r="B25" s="9" t="s">
        <v>190</v>
      </c>
      <c r="C25" s="9">
        <v>7</v>
      </c>
      <c r="D25" s="9">
        <v>7</v>
      </c>
      <c r="E25" s="9">
        <v>0</v>
      </c>
      <c r="F25" s="9">
        <v>0</v>
      </c>
      <c r="G25" s="9">
        <v>0</v>
      </c>
    </row>
    <row r="26" spans="1:7" x14ac:dyDescent="0.3">
      <c r="A26" s="9" t="s">
        <v>187</v>
      </c>
      <c r="B26" s="9" t="s">
        <v>191</v>
      </c>
      <c r="C26" s="9">
        <v>7</v>
      </c>
      <c r="D26" s="9">
        <v>7</v>
      </c>
      <c r="E26" s="9">
        <v>0</v>
      </c>
      <c r="F26" s="9">
        <v>0</v>
      </c>
      <c r="G26" s="9">
        <v>0</v>
      </c>
    </row>
    <row r="27" spans="1:7" x14ac:dyDescent="0.3">
      <c r="A27" s="9" t="s">
        <v>188</v>
      </c>
      <c r="B27" s="9" t="s">
        <v>192</v>
      </c>
      <c r="C27" s="9">
        <v>5</v>
      </c>
      <c r="D27" s="9">
        <v>5</v>
      </c>
      <c r="E27" s="9">
        <v>0</v>
      </c>
      <c r="F27" s="9">
        <v>0</v>
      </c>
      <c r="G27" s="9">
        <v>0</v>
      </c>
    </row>
    <row r="29" spans="1:7" ht="19.8" x14ac:dyDescent="0.4">
      <c r="A29" s="13" t="s">
        <v>166</v>
      </c>
      <c r="B29" s="13"/>
    </row>
    <row r="31" spans="1:7" x14ac:dyDescent="0.3">
      <c r="A31" s="8" t="s">
        <v>167</v>
      </c>
      <c r="B31" s="9">
        <v>2</v>
      </c>
    </row>
    <row r="32" spans="1:7" x14ac:dyDescent="0.3">
      <c r="A32" s="8" t="s">
        <v>168</v>
      </c>
      <c r="B32" s="9">
        <v>0</v>
      </c>
    </row>
    <row r="33" spans="1:2" x14ac:dyDescent="0.3">
      <c r="A33" s="8" t="s">
        <v>169</v>
      </c>
      <c r="B33" s="9">
        <v>0</v>
      </c>
    </row>
    <row r="34" spans="1:2" x14ac:dyDescent="0.3">
      <c r="A34" s="8" t="s">
        <v>170</v>
      </c>
      <c r="B34" s="9">
        <v>2</v>
      </c>
    </row>
    <row r="35" spans="1:2" x14ac:dyDescent="0.3">
      <c r="A35" s="8" t="s">
        <v>171</v>
      </c>
      <c r="B35" s="9">
        <v>0</v>
      </c>
    </row>
    <row r="36" spans="1:2" x14ac:dyDescent="0.3">
      <c r="A36" s="8" t="s">
        <v>172</v>
      </c>
      <c r="B36" s="9">
        <v>0</v>
      </c>
    </row>
    <row r="37" spans="1:2" x14ac:dyDescent="0.3">
      <c r="A37" s="8" t="s">
        <v>173</v>
      </c>
      <c r="B37" s="9">
        <v>0</v>
      </c>
    </row>
    <row r="38" spans="1:2" x14ac:dyDescent="0.3">
      <c r="A38" s="8" t="s">
        <v>174</v>
      </c>
      <c r="B38" s="9">
        <v>0</v>
      </c>
    </row>
    <row r="39" spans="1:2" x14ac:dyDescent="0.3">
      <c r="A39" s="8" t="s">
        <v>175</v>
      </c>
      <c r="B39" s="9">
        <v>0</v>
      </c>
    </row>
    <row r="40" spans="1:2" x14ac:dyDescent="0.3">
      <c r="A40" s="8" t="s">
        <v>176</v>
      </c>
      <c r="B40" s="9">
        <v>2</v>
      </c>
    </row>
    <row r="41" spans="1:2" x14ac:dyDescent="0.3">
      <c r="A41" s="8" t="s">
        <v>177</v>
      </c>
      <c r="B41" s="9">
        <v>0</v>
      </c>
    </row>
    <row r="42" spans="1:2" x14ac:dyDescent="0.3">
      <c r="A42" s="8" t="s">
        <v>178</v>
      </c>
      <c r="B42" s="10">
        <v>0</v>
      </c>
    </row>
    <row r="43" spans="1:2" x14ac:dyDescent="0.3">
      <c r="A43" s="8" t="s">
        <v>179</v>
      </c>
      <c r="B43" s="10">
        <v>1</v>
      </c>
    </row>
  </sheetData>
  <mergeCells count="4">
    <mergeCell ref="A1:B1"/>
    <mergeCell ref="A10:B10"/>
    <mergeCell ref="A21:B21"/>
    <mergeCell ref="A29:B29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B16F1A2-A28D-44CD-8207-56E5350FC9B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Test Plan</vt:lpstr>
      <vt:lpstr>RTM</vt:lpstr>
      <vt:lpstr>TestCases</vt:lpstr>
      <vt:lpstr>Defect_Report</vt:lpstr>
      <vt:lpstr>Test Execution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Shivam negi</cp:lastModifiedBy>
  <dcterms:created xsi:type="dcterms:W3CDTF">2025-11-13T04:00:47Z</dcterms:created>
  <dcterms:modified xsi:type="dcterms:W3CDTF">2025-11-22T06:19:16Z</dcterms:modified>
</cp:coreProperties>
</file>